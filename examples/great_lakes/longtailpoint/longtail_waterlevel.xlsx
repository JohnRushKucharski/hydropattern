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jolszewski_usgs_gov/Documents/GLCRS/focused eval workshops/resource info/longtail_point/"/>
    </mc:Choice>
  </mc:AlternateContent>
  <xr:revisionPtr revIDLastSave="129" documentId="13_ncr:1_{01B2CF7B-E720-4795-A8AC-396B4D6C0A91}" xr6:coauthVersionLast="47" xr6:coauthVersionMax="47" xr10:uidLastSave="{4E861A2E-2482-41A0-AF9B-9452E275AA4B}"/>
  <bookViews>
    <workbookView xWindow="-120" yWindow="-120" windowWidth="29040" windowHeight="15720" xr2:uid="{00000000-000D-0000-FFFF-FFFF00000000}"/>
  </bookViews>
  <sheets>
    <sheet name="Sheet2" sheetId="2" r:id="rId1"/>
    <sheet name="conversion_ex" sheetId="1" state="hidden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" i="2" l="1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B44" i="2"/>
  <c r="C44" i="2"/>
  <c r="D44" i="2"/>
  <c r="B15" i="2"/>
  <c r="B16" i="2"/>
  <c r="B17" i="2"/>
  <c r="B18" i="2"/>
  <c r="B19" i="2"/>
  <c r="B20" i="2"/>
  <c r="B21" i="2"/>
  <c r="B22" i="2"/>
  <c r="B23" i="2"/>
  <c r="B24" i="2"/>
  <c r="B14" i="2"/>
  <c r="C10" i="2"/>
  <c r="C9" i="2"/>
  <c r="A14" i="2" s="1"/>
  <c r="A29" i="2" l="1"/>
  <c r="A15" i="2"/>
  <c r="A16" i="2" l="1"/>
  <c r="A30" i="2"/>
  <c r="C29" i="2"/>
  <c r="A44" i="2"/>
  <c r="D29" i="2"/>
  <c r="B29" i="2"/>
  <c r="D30" i="2" l="1"/>
  <c r="B30" i="2"/>
  <c r="C30" i="2"/>
  <c r="A17" i="2"/>
  <c r="A31" i="2"/>
  <c r="D31" i="2" l="1"/>
  <c r="B31" i="2"/>
  <c r="C31" i="2"/>
  <c r="A18" i="2"/>
  <c r="A32" i="2"/>
  <c r="D32" i="2" l="1"/>
  <c r="B32" i="2"/>
  <c r="C32" i="2"/>
  <c r="A19" i="2"/>
  <c r="A33" i="2"/>
  <c r="D33" i="2" l="1"/>
  <c r="B33" i="2"/>
  <c r="C33" i="2"/>
  <c r="A20" i="2"/>
  <c r="A34" i="2"/>
  <c r="D34" i="2" l="1"/>
  <c r="B34" i="2"/>
  <c r="C34" i="2"/>
  <c r="A21" i="2"/>
  <c r="A35" i="2"/>
  <c r="C35" i="2" l="1"/>
  <c r="D35" i="2"/>
  <c r="B35" i="2"/>
  <c r="A22" i="2"/>
  <c r="A36" i="2"/>
  <c r="A37" i="2" l="1"/>
  <c r="A23" i="2"/>
  <c r="C36" i="2"/>
  <c r="D36" i="2"/>
  <c r="B36" i="2"/>
  <c r="A38" i="2" l="1"/>
  <c r="A24" i="2"/>
  <c r="A39" i="2" s="1"/>
  <c r="C37" i="2"/>
  <c r="D37" i="2"/>
  <c r="B37" i="2"/>
  <c r="C39" i="2" l="1"/>
  <c r="D39" i="2"/>
  <c r="B39" i="2"/>
  <c r="C38" i="2"/>
  <c r="D38" i="2"/>
  <c r="B38" i="2"/>
  <c r="E9" i="1" l="1"/>
  <c r="C9" i="1"/>
  <c r="F9" i="1" s="1"/>
  <c r="G9" i="1" s="1"/>
  <c r="E8" i="1"/>
  <c r="C8" i="1"/>
  <c r="F8" i="1" s="1"/>
  <c r="G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tc={5366C893-B0E5-4A28-BFEC-8D983944A3D4}</author>
  </authors>
  <commentList>
    <comment ref="A7" authorId="0" shapeId="0" xr:uid="{5366C893-B0E5-4A28-BFEC-8D983944A3D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conversion of 0.44ft per conversation with USACE Longtail team</t>
      </text>
    </comment>
  </commentList>
</comments>
</file>

<file path=xl/sharedStrings.xml><?xml version="1.0" encoding="utf-8"?>
<sst xmlns="http://schemas.openxmlformats.org/spreadsheetml/2006/main" count="42" uniqueCount="38">
  <si>
    <t>High</t>
  </si>
  <si>
    <t>Low</t>
  </si>
  <si>
    <t>NAVD88 (m)</t>
  </si>
  <si>
    <t>NAVD88 (ft)</t>
  </si>
  <si>
    <t>IGLD85 (m)</t>
  </si>
  <si>
    <t>IGLD85 (ft)</t>
  </si>
  <si>
    <t xml:space="preserve">587ft </t>
  </si>
  <si>
    <t xml:space="preserve">582ft </t>
  </si>
  <si>
    <t>IGLD 85 Conversion</t>
  </si>
  <si>
    <t>Source:</t>
  </si>
  <si>
    <t>Computed for save point 4995</t>
  </si>
  <si>
    <t>DID NOT USE, USED USACE TEAM ESTIMATE OF 0.44ft</t>
  </si>
  <si>
    <t>Elevation range:</t>
  </si>
  <si>
    <t>582-587 ft NAVG88</t>
  </si>
  <si>
    <t>Intervals:</t>
  </si>
  <si>
    <t>0.5ft</t>
  </si>
  <si>
    <t>Save points:</t>
  </si>
  <si>
    <t>1968, 4999, 4997</t>
  </si>
  <si>
    <t>Longtail needs</t>
  </si>
  <si>
    <t>NAVG88 to IGLD85:</t>
  </si>
  <si>
    <t>low</t>
  </si>
  <si>
    <t>NAVG88</t>
  </si>
  <si>
    <t>IGLD85</t>
  </si>
  <si>
    <t>Run-up estimate:</t>
  </si>
  <si>
    <t>2-3ft</t>
  </si>
  <si>
    <t>Base Elevation (ft)</t>
  </si>
  <si>
    <t>2ft runup</t>
  </si>
  <si>
    <t>2.5ft runup</t>
  </si>
  <si>
    <t>3ft runup</t>
  </si>
  <si>
    <t>Full set of Runup Scenarios (m)</t>
  </si>
  <si>
    <t>Save Points</t>
  </si>
  <si>
    <t>Latitude</t>
  </si>
  <si>
    <t>Longitude</t>
  </si>
  <si>
    <t>Full set of Runup Scenarios for Stillwater (wave + surge) Analysis (ft)</t>
  </si>
  <si>
    <t>Full Set of Elevations (ft IGLD85) - 11 elevations</t>
  </si>
  <si>
    <t>Elevation (ft)</t>
  </si>
  <si>
    <t>Elevation (m)</t>
  </si>
  <si>
    <t>Base Elevation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</si>
</sst>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72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8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Border="1"/>
    <xf numFmtId="0" fontId="0" fillId="0" borderId="0" xfId="0" applyBorder="1"/>
    <xf numFmtId="172" fontId="3" fillId="0" borderId="0" xfId="2" applyNumberFormat="1" applyBorder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Fill="1" applyAlignment="1">
      <alignment horizontal="center"/>
    </xf>
  </cellXfs>
  <cellStyles count="3">
    <cellStyle name="Hyperlink" xfId="1" builtinId="8"/>
    <cellStyle name="Normal" xfId="0" builtinId="0"/>
    <cellStyle name="Normal 3" xfId="2" xr:uid="{BA31CD74-6A68-41DA-B99F-0865504CE5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2</xdr:row>
      <xdr:rowOff>38100</xdr:rowOff>
    </xdr:from>
    <xdr:to>
      <xdr:col>19</xdr:col>
      <xdr:colOff>534402</xdr:colOff>
      <xdr:row>4</xdr:row>
      <xdr:rowOff>171522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FD2BFC-9286-A3E7-EA2E-FE12E663A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95925" y="228600"/>
          <a:ext cx="7182852" cy="514422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7</xdr:row>
      <xdr:rowOff>9525</xdr:rowOff>
    </xdr:from>
    <xdr:to>
      <xdr:col>19</xdr:col>
      <xdr:colOff>543933</xdr:colOff>
      <xdr:row>10</xdr:row>
      <xdr:rowOff>95342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CB287A1-6E10-4FB7-668A-A838B5E9D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67350" y="1152525"/>
          <a:ext cx="7220958" cy="65731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Olszewski, Jennifer M" id="{222BEE8E-F737-453E-9224-B475DF55A64B}" userId="S::jolszewski@usgs.gov::fd8b70a4-d3fd-4642-9aff-0a6bba4c9af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6-07-27T19:23:17.04" personId="{222BEE8E-F737-453E-9224-B475DF55A64B}" id="{5366C893-B0E5-4A28-BFEC-8D983944A3D4}">
    <text>Assume conversion of 0.44ft per conversation with USACE Longtail team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eodesy.noaa.gov/cgi-bin/IGLD85/IGLD85.pr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EB48B-CB3F-4D8E-8B91-4D12AA1115C8}">
  <dimension ref="A1:I54"/>
  <sheetViews>
    <sheetView tabSelected="1" workbookViewId="0">
      <selection activeCell="B15" sqref="B15"/>
    </sheetView>
  </sheetViews>
  <sheetFormatPr defaultRowHeight="15" x14ac:dyDescent="0.25"/>
  <cols>
    <col min="1" max="1" width="18" bestFit="1" customWidth="1"/>
    <col min="2" max="2" width="14.140625" customWidth="1"/>
    <col min="3" max="3" width="10.85546875" bestFit="1" customWidth="1"/>
    <col min="4" max="4" width="10.5703125" bestFit="1" customWidth="1"/>
    <col min="7" max="7" width="11.140625" bestFit="1" customWidth="1"/>
  </cols>
  <sheetData>
    <row r="1" spans="1:9" x14ac:dyDescent="0.25">
      <c r="A1" s="2" t="s">
        <v>18</v>
      </c>
      <c r="G1" s="13" t="s">
        <v>30</v>
      </c>
      <c r="H1" s="14" t="s">
        <v>31</v>
      </c>
      <c r="I1" s="14" t="s">
        <v>32</v>
      </c>
    </row>
    <row r="2" spans="1:9" x14ac:dyDescent="0.25">
      <c r="A2" t="s">
        <v>12</v>
      </c>
      <c r="B2" t="s">
        <v>13</v>
      </c>
      <c r="G2" s="14">
        <v>1968</v>
      </c>
      <c r="H2" s="15">
        <v>44.625672000000002</v>
      </c>
      <c r="I2" s="15">
        <v>-87.999600000000001</v>
      </c>
    </row>
    <row r="3" spans="1:9" x14ac:dyDescent="0.25">
      <c r="A3" t="s">
        <v>14</v>
      </c>
      <c r="B3" t="s">
        <v>15</v>
      </c>
      <c r="G3" s="14">
        <v>4999</v>
      </c>
      <c r="H3" s="15">
        <v>44.610399999999899</v>
      </c>
      <c r="I3" s="15">
        <v>-87.986800000000002</v>
      </c>
    </row>
    <row r="4" spans="1:9" x14ac:dyDescent="0.25">
      <c r="A4" t="s">
        <v>16</v>
      </c>
      <c r="B4" t="s">
        <v>17</v>
      </c>
      <c r="G4" s="14">
        <v>4997</v>
      </c>
      <c r="H4" s="15">
        <v>44.6024999999999</v>
      </c>
      <c r="I4" s="15">
        <v>-87.979900000000001</v>
      </c>
    </row>
    <row r="5" spans="1:9" x14ac:dyDescent="0.25">
      <c r="A5" t="s">
        <v>23</v>
      </c>
      <c r="B5" t="s">
        <v>24</v>
      </c>
    </row>
    <row r="7" spans="1:9" x14ac:dyDescent="0.25">
      <c r="A7" s="2" t="s">
        <v>19</v>
      </c>
    </row>
    <row r="8" spans="1:9" x14ac:dyDescent="0.25">
      <c r="B8" s="11" t="s">
        <v>21</v>
      </c>
      <c r="C8" s="11" t="s">
        <v>22</v>
      </c>
    </row>
    <row r="9" spans="1:9" x14ac:dyDescent="0.25">
      <c r="A9" s="11" t="s">
        <v>0</v>
      </c>
      <c r="B9" s="11">
        <v>587</v>
      </c>
      <c r="C9" s="11">
        <f>B9-0.44</f>
        <v>586.55999999999995</v>
      </c>
    </row>
    <row r="10" spans="1:9" x14ac:dyDescent="0.25">
      <c r="A10" s="11" t="s">
        <v>20</v>
      </c>
      <c r="B10" s="11">
        <v>582</v>
      </c>
      <c r="C10" s="11">
        <f>B10-0.44</f>
        <v>581.55999999999995</v>
      </c>
    </row>
    <row r="12" spans="1:9" x14ac:dyDescent="0.25">
      <c r="A12" s="2" t="s">
        <v>34</v>
      </c>
    </row>
    <row r="13" spans="1:9" x14ac:dyDescent="0.25">
      <c r="A13" s="16" t="s">
        <v>35</v>
      </c>
      <c r="B13" s="16" t="s">
        <v>36</v>
      </c>
    </row>
    <row r="14" spans="1:9" x14ac:dyDescent="0.25">
      <c r="A14" s="11">
        <f>C9</f>
        <v>586.55999999999995</v>
      </c>
      <c r="B14" s="12">
        <f>A14/3.281</f>
        <v>178.77476379152694</v>
      </c>
    </row>
    <row r="15" spans="1:9" x14ac:dyDescent="0.25">
      <c r="A15" s="11">
        <f>A14 -0.5</f>
        <v>586.05999999999995</v>
      </c>
      <c r="B15" s="12">
        <f t="shared" ref="B15:B24" si="0">A15/3.281</f>
        <v>178.62237122828404</v>
      </c>
    </row>
    <row r="16" spans="1:9" x14ac:dyDescent="0.25">
      <c r="A16" s="11">
        <f t="shared" ref="A16:A25" si="1">A15 -0.5</f>
        <v>585.55999999999995</v>
      </c>
      <c r="B16" s="12">
        <f t="shared" si="0"/>
        <v>178.46997866504111</v>
      </c>
    </row>
    <row r="17" spans="1:4" x14ac:dyDescent="0.25">
      <c r="A17" s="11">
        <f t="shared" si="1"/>
        <v>585.05999999999995</v>
      </c>
      <c r="B17" s="12">
        <f t="shared" si="0"/>
        <v>178.31758610179821</v>
      </c>
    </row>
    <row r="18" spans="1:4" x14ac:dyDescent="0.25">
      <c r="A18" s="11">
        <f t="shared" si="1"/>
        <v>584.55999999999995</v>
      </c>
      <c r="B18" s="12">
        <f t="shared" si="0"/>
        <v>178.16519353855529</v>
      </c>
    </row>
    <row r="19" spans="1:4" x14ac:dyDescent="0.25">
      <c r="A19" s="11">
        <f t="shared" si="1"/>
        <v>584.05999999999995</v>
      </c>
      <c r="B19" s="12">
        <f t="shared" si="0"/>
        <v>178.01280097531239</v>
      </c>
    </row>
    <row r="20" spans="1:4" x14ac:dyDescent="0.25">
      <c r="A20" s="11">
        <f t="shared" si="1"/>
        <v>583.55999999999995</v>
      </c>
      <c r="B20" s="12">
        <f t="shared" si="0"/>
        <v>177.86040841206946</v>
      </c>
    </row>
    <row r="21" spans="1:4" x14ac:dyDescent="0.25">
      <c r="A21" s="11">
        <f t="shared" si="1"/>
        <v>583.05999999999995</v>
      </c>
      <c r="B21" s="12">
        <f t="shared" si="0"/>
        <v>177.70801584882656</v>
      </c>
    </row>
    <row r="22" spans="1:4" x14ac:dyDescent="0.25">
      <c r="A22" s="11">
        <f t="shared" si="1"/>
        <v>582.55999999999995</v>
      </c>
      <c r="B22" s="12">
        <f t="shared" si="0"/>
        <v>177.55562328558364</v>
      </c>
    </row>
    <row r="23" spans="1:4" x14ac:dyDescent="0.25">
      <c r="A23" s="11">
        <f t="shared" si="1"/>
        <v>582.05999999999995</v>
      </c>
      <c r="B23" s="12">
        <f t="shared" si="0"/>
        <v>177.40323072234074</v>
      </c>
    </row>
    <row r="24" spans="1:4" x14ac:dyDescent="0.25">
      <c r="A24" s="11">
        <f t="shared" si="1"/>
        <v>581.55999999999995</v>
      </c>
      <c r="B24" s="12">
        <f t="shared" si="0"/>
        <v>177.25083815909781</v>
      </c>
    </row>
    <row r="27" spans="1:4" x14ac:dyDescent="0.25">
      <c r="A27" s="2" t="s">
        <v>33</v>
      </c>
    </row>
    <row r="28" spans="1:4" x14ac:dyDescent="0.25">
      <c r="A28" t="s">
        <v>25</v>
      </c>
      <c r="B28" t="s">
        <v>26</v>
      </c>
      <c r="C28" t="s">
        <v>27</v>
      </c>
      <c r="D28" t="s">
        <v>28</v>
      </c>
    </row>
    <row r="29" spans="1:4" x14ac:dyDescent="0.25">
      <c r="A29">
        <f>A14</f>
        <v>586.55999999999995</v>
      </c>
      <c r="B29">
        <f>A29-2</f>
        <v>584.55999999999995</v>
      </c>
      <c r="C29">
        <f>A29-2.5</f>
        <v>584.05999999999995</v>
      </c>
      <c r="D29">
        <f>A29-3</f>
        <v>583.55999999999995</v>
      </c>
    </row>
    <row r="30" spans="1:4" x14ac:dyDescent="0.25">
      <c r="A30">
        <f t="shared" ref="A30:A54" si="2">A15</f>
        <v>586.05999999999995</v>
      </c>
      <c r="B30">
        <f t="shared" ref="B30:B39" si="3">A30-2</f>
        <v>584.05999999999995</v>
      </c>
      <c r="C30">
        <f t="shared" ref="C30:C39" si="4">A30-2.5</f>
        <v>583.55999999999995</v>
      </c>
      <c r="D30">
        <f t="shared" ref="D30:D39" si="5">A30-3</f>
        <v>583.05999999999995</v>
      </c>
    </row>
    <row r="31" spans="1:4" x14ac:dyDescent="0.25">
      <c r="A31">
        <f t="shared" si="2"/>
        <v>585.55999999999995</v>
      </c>
      <c r="B31">
        <f t="shared" si="3"/>
        <v>583.55999999999995</v>
      </c>
      <c r="C31">
        <f t="shared" si="4"/>
        <v>583.05999999999995</v>
      </c>
      <c r="D31">
        <f t="shared" si="5"/>
        <v>582.55999999999995</v>
      </c>
    </row>
    <row r="32" spans="1:4" x14ac:dyDescent="0.25">
      <c r="A32">
        <f t="shared" si="2"/>
        <v>585.05999999999995</v>
      </c>
      <c r="B32">
        <f t="shared" si="3"/>
        <v>583.05999999999995</v>
      </c>
      <c r="C32">
        <f t="shared" si="4"/>
        <v>582.55999999999995</v>
      </c>
      <c r="D32">
        <f t="shared" si="5"/>
        <v>582.05999999999995</v>
      </c>
    </row>
    <row r="33" spans="1:4" x14ac:dyDescent="0.25">
      <c r="A33">
        <f t="shared" si="2"/>
        <v>584.55999999999995</v>
      </c>
      <c r="B33">
        <f t="shared" si="3"/>
        <v>582.55999999999995</v>
      </c>
      <c r="C33">
        <f t="shared" si="4"/>
        <v>582.05999999999995</v>
      </c>
      <c r="D33">
        <f t="shared" si="5"/>
        <v>581.55999999999995</v>
      </c>
    </row>
    <row r="34" spans="1:4" x14ac:dyDescent="0.25">
      <c r="A34">
        <f t="shared" si="2"/>
        <v>584.05999999999995</v>
      </c>
      <c r="B34">
        <f t="shared" si="3"/>
        <v>582.05999999999995</v>
      </c>
      <c r="C34">
        <f t="shared" si="4"/>
        <v>581.55999999999995</v>
      </c>
      <c r="D34">
        <f t="shared" si="5"/>
        <v>581.05999999999995</v>
      </c>
    </row>
    <row r="35" spans="1:4" x14ac:dyDescent="0.25">
      <c r="A35">
        <f t="shared" si="2"/>
        <v>583.55999999999995</v>
      </c>
      <c r="B35">
        <f t="shared" si="3"/>
        <v>581.55999999999995</v>
      </c>
      <c r="C35">
        <f t="shared" si="4"/>
        <v>581.05999999999995</v>
      </c>
      <c r="D35">
        <f t="shared" si="5"/>
        <v>580.55999999999995</v>
      </c>
    </row>
    <row r="36" spans="1:4" x14ac:dyDescent="0.25">
      <c r="A36">
        <f t="shared" si="2"/>
        <v>583.05999999999995</v>
      </c>
      <c r="B36">
        <f t="shared" si="3"/>
        <v>581.05999999999995</v>
      </c>
      <c r="C36">
        <f t="shared" si="4"/>
        <v>580.55999999999995</v>
      </c>
      <c r="D36">
        <f t="shared" si="5"/>
        <v>580.05999999999995</v>
      </c>
    </row>
    <row r="37" spans="1:4" x14ac:dyDescent="0.25">
      <c r="A37">
        <f t="shared" si="2"/>
        <v>582.55999999999995</v>
      </c>
      <c r="B37">
        <f t="shared" si="3"/>
        <v>580.55999999999995</v>
      </c>
      <c r="C37">
        <f t="shared" si="4"/>
        <v>580.05999999999995</v>
      </c>
      <c r="D37">
        <f t="shared" si="5"/>
        <v>579.55999999999995</v>
      </c>
    </row>
    <row r="38" spans="1:4" x14ac:dyDescent="0.25">
      <c r="A38">
        <f t="shared" si="2"/>
        <v>582.05999999999995</v>
      </c>
      <c r="B38">
        <f t="shared" si="3"/>
        <v>580.05999999999995</v>
      </c>
      <c r="C38">
        <f t="shared" si="4"/>
        <v>579.55999999999995</v>
      </c>
      <c r="D38">
        <f t="shared" si="5"/>
        <v>579.05999999999995</v>
      </c>
    </row>
    <row r="39" spans="1:4" x14ac:dyDescent="0.25">
      <c r="A39">
        <f t="shared" si="2"/>
        <v>581.55999999999995</v>
      </c>
      <c r="B39">
        <f t="shared" si="3"/>
        <v>579.55999999999995</v>
      </c>
      <c r="C39">
        <f t="shared" si="4"/>
        <v>579.05999999999995</v>
      </c>
      <c r="D39">
        <f t="shared" si="5"/>
        <v>578.55999999999995</v>
      </c>
    </row>
    <row r="42" spans="1:4" x14ac:dyDescent="0.25">
      <c r="A42" s="2" t="s">
        <v>29</v>
      </c>
    </row>
    <row r="43" spans="1:4" x14ac:dyDescent="0.25">
      <c r="A43" t="s">
        <v>37</v>
      </c>
      <c r="B43" t="s">
        <v>26</v>
      </c>
      <c r="C43" t="s">
        <v>27</v>
      </c>
      <c r="D43" t="s">
        <v>28</v>
      </c>
    </row>
    <row r="44" spans="1:4" x14ac:dyDescent="0.25">
      <c r="A44" s="17">
        <f>A29/3.281</f>
        <v>178.77476379152694</v>
      </c>
      <c r="B44" s="17">
        <f t="shared" ref="B44:D44" si="6">B29/3.281</f>
        <v>178.16519353855529</v>
      </c>
      <c r="C44" s="17">
        <f t="shared" si="6"/>
        <v>178.01280097531239</v>
      </c>
      <c r="D44" s="17">
        <f t="shared" si="6"/>
        <v>177.86040841206946</v>
      </c>
    </row>
    <row r="45" spans="1:4" x14ac:dyDescent="0.25">
      <c r="A45" s="17">
        <f t="shared" ref="A45:D45" si="7">A30/3.281</f>
        <v>178.62237122828404</v>
      </c>
      <c r="B45" s="17">
        <f t="shared" si="7"/>
        <v>178.01280097531239</v>
      </c>
      <c r="C45" s="17">
        <f t="shared" si="7"/>
        <v>177.86040841206946</v>
      </c>
      <c r="D45" s="17">
        <f t="shared" si="7"/>
        <v>177.70801584882656</v>
      </c>
    </row>
    <row r="46" spans="1:4" x14ac:dyDescent="0.25">
      <c r="A46" s="17">
        <f t="shared" ref="A46:D46" si="8">A31/3.281</f>
        <v>178.46997866504111</v>
      </c>
      <c r="B46" s="17">
        <f t="shared" si="8"/>
        <v>177.86040841206946</v>
      </c>
      <c r="C46" s="17">
        <f t="shared" si="8"/>
        <v>177.70801584882656</v>
      </c>
      <c r="D46" s="17">
        <f t="shared" si="8"/>
        <v>177.55562328558364</v>
      </c>
    </row>
    <row r="47" spans="1:4" x14ac:dyDescent="0.25">
      <c r="A47" s="17">
        <f t="shared" ref="A47:D47" si="9">A32/3.281</f>
        <v>178.31758610179821</v>
      </c>
      <c r="B47" s="17">
        <f t="shared" si="9"/>
        <v>177.70801584882656</v>
      </c>
      <c r="C47" s="17">
        <f t="shared" si="9"/>
        <v>177.55562328558364</v>
      </c>
      <c r="D47" s="17">
        <f t="shared" si="9"/>
        <v>177.40323072234074</v>
      </c>
    </row>
    <row r="48" spans="1:4" x14ac:dyDescent="0.25">
      <c r="A48" s="17">
        <f t="shared" ref="A48:D48" si="10">A33/3.281</f>
        <v>178.16519353855529</v>
      </c>
      <c r="B48" s="17">
        <f t="shared" si="10"/>
        <v>177.55562328558364</v>
      </c>
      <c r="C48" s="17">
        <f t="shared" si="10"/>
        <v>177.40323072234074</v>
      </c>
      <c r="D48" s="17">
        <f t="shared" si="10"/>
        <v>177.25083815909781</v>
      </c>
    </row>
    <row r="49" spans="1:4" x14ac:dyDescent="0.25">
      <c r="A49" s="17">
        <f t="shared" ref="A49:D49" si="11">A34/3.281</f>
        <v>178.01280097531239</v>
      </c>
      <c r="B49" s="17">
        <f t="shared" si="11"/>
        <v>177.40323072234074</v>
      </c>
      <c r="C49" s="17">
        <f t="shared" si="11"/>
        <v>177.25083815909781</v>
      </c>
      <c r="D49" s="17">
        <f t="shared" si="11"/>
        <v>177.09844559585491</v>
      </c>
    </row>
    <row r="50" spans="1:4" x14ac:dyDescent="0.25">
      <c r="A50" s="17">
        <f t="shared" ref="A50:D50" si="12">A35/3.281</f>
        <v>177.86040841206946</v>
      </c>
      <c r="B50" s="17">
        <f t="shared" si="12"/>
        <v>177.25083815909781</v>
      </c>
      <c r="C50" s="17">
        <f t="shared" si="12"/>
        <v>177.09844559585491</v>
      </c>
      <c r="D50" s="17">
        <f t="shared" si="12"/>
        <v>176.94605303261199</v>
      </c>
    </row>
    <row r="51" spans="1:4" x14ac:dyDescent="0.25">
      <c r="A51" s="17">
        <f t="shared" ref="A51:D51" si="13">A36/3.281</f>
        <v>177.70801584882656</v>
      </c>
      <c r="B51" s="17">
        <f t="shared" si="13"/>
        <v>177.09844559585491</v>
      </c>
      <c r="C51" s="17">
        <f t="shared" si="13"/>
        <v>176.94605303261199</v>
      </c>
      <c r="D51" s="17">
        <f t="shared" si="13"/>
        <v>176.79366046936906</v>
      </c>
    </row>
    <row r="52" spans="1:4" x14ac:dyDescent="0.25">
      <c r="A52" s="17">
        <f t="shared" ref="A52:D52" si="14">A37/3.281</f>
        <v>177.55562328558364</v>
      </c>
      <c r="B52" s="17">
        <f t="shared" si="14"/>
        <v>176.94605303261199</v>
      </c>
      <c r="C52" s="17">
        <f t="shared" si="14"/>
        <v>176.79366046936906</v>
      </c>
      <c r="D52" s="17">
        <f t="shared" si="14"/>
        <v>176.64126790612616</v>
      </c>
    </row>
    <row r="53" spans="1:4" x14ac:dyDescent="0.25">
      <c r="A53" s="17">
        <f t="shared" ref="A53:D53" si="15">A38/3.281</f>
        <v>177.40323072234074</v>
      </c>
      <c r="B53" s="17">
        <f t="shared" si="15"/>
        <v>176.79366046936906</v>
      </c>
      <c r="C53" s="17">
        <f t="shared" si="15"/>
        <v>176.64126790612616</v>
      </c>
      <c r="D53" s="17">
        <f t="shared" si="15"/>
        <v>176.48887534288323</v>
      </c>
    </row>
    <row r="54" spans="1:4" x14ac:dyDescent="0.25">
      <c r="A54" s="17">
        <f t="shared" ref="A54:D54" si="16">A39/3.281</f>
        <v>177.25083815909781</v>
      </c>
      <c r="B54" s="17">
        <f t="shared" si="16"/>
        <v>176.64126790612616</v>
      </c>
      <c r="C54" s="17">
        <f t="shared" si="16"/>
        <v>176.48887534288323</v>
      </c>
      <c r="D54" s="17">
        <f t="shared" si="16"/>
        <v>176.33648277964033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selection activeCell="C22" sqref="C22"/>
    </sheetView>
  </sheetViews>
  <sheetFormatPr defaultRowHeight="15" x14ac:dyDescent="0.25"/>
  <cols>
    <col min="2" max="2" width="11.5703125" bestFit="1" customWidth="1"/>
    <col min="3" max="3" width="11.85546875" bestFit="1" customWidth="1"/>
    <col min="4" max="4" width="10.5703125" bestFit="1" customWidth="1"/>
    <col min="5" max="5" width="11" bestFit="1" customWidth="1"/>
  </cols>
  <sheetData>
    <row r="1" spans="1:9" x14ac:dyDescent="0.25">
      <c r="A1" t="s">
        <v>9</v>
      </c>
      <c r="B1" s="8" t="s">
        <v>8</v>
      </c>
      <c r="D1" s="9" t="s">
        <v>11</v>
      </c>
      <c r="E1" s="10"/>
      <c r="F1" s="10"/>
      <c r="G1" s="10"/>
      <c r="H1" s="10"/>
    </row>
    <row r="2" spans="1:9" x14ac:dyDescent="0.25">
      <c r="I2" s="2" t="s">
        <v>7</v>
      </c>
    </row>
    <row r="3" spans="1:9" x14ac:dyDescent="0.25">
      <c r="A3" t="s">
        <v>10</v>
      </c>
    </row>
    <row r="7" spans="1:9" x14ac:dyDescent="0.25">
      <c r="B7" s="3" t="s">
        <v>3</v>
      </c>
      <c r="C7" s="3" t="s">
        <v>2</v>
      </c>
      <c r="D7" s="3" t="s">
        <v>4</v>
      </c>
      <c r="E7" s="3" t="s">
        <v>5</v>
      </c>
      <c r="I7" s="2" t="s">
        <v>6</v>
      </c>
    </row>
    <row r="8" spans="1:9" x14ac:dyDescent="0.25">
      <c r="A8" s="3" t="s">
        <v>1</v>
      </c>
      <c r="B8" s="4">
        <v>582</v>
      </c>
      <c r="C8" s="5">
        <f>B8/3.281</f>
        <v>177.38494361475159</v>
      </c>
      <c r="D8" s="5">
        <v>177.2602</v>
      </c>
      <c r="E8" s="6">
        <f>D8*3.281</f>
        <v>581.59071619999997</v>
      </c>
      <c r="F8" s="1">
        <f>C8-D8</f>
        <v>0.12474361475159412</v>
      </c>
      <c r="G8" s="1">
        <f>F8*3.281</f>
        <v>0.40928379999998032</v>
      </c>
    </row>
    <row r="9" spans="1:9" x14ac:dyDescent="0.25">
      <c r="A9" s="3" t="s">
        <v>0</v>
      </c>
      <c r="B9" s="4">
        <v>587</v>
      </c>
      <c r="C9" s="5">
        <f>B9/3.281</f>
        <v>178.90886924718072</v>
      </c>
      <c r="D9" s="7">
        <v>178.7842</v>
      </c>
      <c r="E9" s="6">
        <f>D9*3.281</f>
        <v>586.59096020000004</v>
      </c>
      <c r="F9" s="1">
        <f>C9-D9</f>
        <v>0.12466924718071937</v>
      </c>
      <c r="G9" s="1">
        <f>F9*3.281</f>
        <v>0.40903979999994028</v>
      </c>
    </row>
  </sheetData>
  <hyperlinks>
    <hyperlink ref="B1" r:id="rId1" display="https://geodesy.noaa.gov/cgi-bin/IGLD85/IGLD85.prl" xr:uid="{D9A46F41-D421-4568-BC33-069F4F79D7E6}"/>
  </hyperlinks>
  <pageMargins left="0.7" right="0.7" top="0.75" bottom="0.75" header="0.3" footer="0.3"/>
  <drawing r:id="rId2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conversion_ex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Olszewski, Jennifer M</dc:creator>
  <cp:lastModifiedBy>Olszewski, Jennifer M</cp:lastModifiedBy>
  <dcterms:created xsi:type="dcterms:W3CDTF">2015-06-05T18:17:20Z</dcterms:created>
  <dcterms:modified xsi:type="dcterms:W3CDTF">2026-07-27T19:48:06Z</dcterms:modified>
</cp:coreProperties>
</file>